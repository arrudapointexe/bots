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bots\"/>
    </mc:Choice>
  </mc:AlternateContent>
  <xr:revisionPtr revIDLastSave="0" documentId="13_ncr:1_{5EF74784-5C5C-4F82-8B66-D00DAEC60782}" xr6:coauthVersionLast="47" xr6:coauthVersionMax="47" xr10:uidLastSave="{00000000-0000-0000-0000-000000000000}"/>
  <bookViews>
    <workbookView xWindow="-108" yWindow="-108" windowWidth="23256" windowHeight="12456" activeTab="3" xr2:uid="{3B8513BF-6068-434B-B795-5CE86E6EE1B8}"/>
  </bookViews>
  <sheets>
    <sheet name="JML1q" sheetId="1" r:id="rId1"/>
    <sheet name="ITR1q" sheetId="2" r:id="rId2"/>
    <sheet name="JML2q" sheetId="3" r:id="rId3"/>
    <sheet name="ITR2q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4" i="4" l="1"/>
  <c r="H3" i="4"/>
  <c r="H5" i="3"/>
  <c r="H4" i="3"/>
  <c r="H6" i="2"/>
  <c r="H5" i="2"/>
  <c r="H4" i="2"/>
  <c r="H3" i="2"/>
  <c r="H19" i="1"/>
  <c r="H20" i="1"/>
  <c r="H21" i="1"/>
  <c r="H22" i="1"/>
  <c r="H18" i="1"/>
  <c r="H17" i="1"/>
  <c r="H16" i="1"/>
  <c r="H15" i="1"/>
  <c r="H14" i="1"/>
  <c r="H10" i="1"/>
  <c r="H11" i="1"/>
  <c r="H12" i="1"/>
  <c r="H13" i="1"/>
  <c r="H4" i="1"/>
  <c r="H5" i="1"/>
  <c r="H6" i="1"/>
  <c r="H7" i="1"/>
  <c r="H8" i="1"/>
  <c r="H9" i="1"/>
  <c r="H3" i="1"/>
</calcChain>
</file>

<file path=xl/sharedStrings.xml><?xml version="1.0" encoding="utf-8"?>
<sst xmlns="http://schemas.openxmlformats.org/spreadsheetml/2006/main" count="254" uniqueCount="45">
  <si>
    <t>EXTRAVIO IMILE</t>
  </si>
  <si>
    <t>AWB</t>
  </si>
  <si>
    <t xml:space="preserve">NOME DO RESPONSAVEL </t>
  </si>
  <si>
    <t>DS</t>
  </si>
  <si>
    <t>MOTIVO</t>
  </si>
  <si>
    <t>DATA</t>
  </si>
  <si>
    <t>Valor do pedido</t>
  </si>
  <si>
    <t>Multa Contratual</t>
  </si>
  <si>
    <t>R$</t>
  </si>
  <si>
    <t>TIPO</t>
  </si>
  <si>
    <t>NOTIFICADO</t>
  </si>
  <si>
    <t>Goods Lost</t>
  </si>
  <si>
    <t>SIM</t>
  </si>
  <si>
    <t>Motorista</t>
  </si>
  <si>
    <t>Fake Delivery</t>
  </si>
  <si>
    <t>DS JML</t>
  </si>
  <si>
    <t>3320074339155</t>
  </si>
  <si>
    <t>3320093352291</t>
  </si>
  <si>
    <t>3320058338594</t>
  </si>
  <si>
    <t>6041626588141</t>
  </si>
  <si>
    <t>3320034372498</t>
  </si>
  <si>
    <t>3320097362834</t>
  </si>
  <si>
    <t>3320089363738</t>
  </si>
  <si>
    <t>6042826288544</t>
  </si>
  <si>
    <t>3320000428779</t>
  </si>
  <si>
    <t>3320002424903</t>
  </si>
  <si>
    <t>Ivan Nelis</t>
  </si>
  <si>
    <t>Windison Maicon</t>
  </si>
  <si>
    <t>Wenderson Araújo</t>
  </si>
  <si>
    <t>João Paulo</t>
  </si>
  <si>
    <t>Francismar Lima</t>
  </si>
  <si>
    <t>Renner Diego</t>
  </si>
  <si>
    <t>Bruno Felipe</t>
  </si>
  <si>
    <t>BASE</t>
  </si>
  <si>
    <t>Pamela Rezende</t>
  </si>
  <si>
    <t>DS ITR</t>
  </si>
  <si>
    <t>BASE(itallo)</t>
  </si>
  <si>
    <t>6051026466983</t>
  </si>
  <si>
    <t>6051026677952</t>
  </si>
  <si>
    <t>6051226226761</t>
  </si>
  <si>
    <t>6051226123831</t>
  </si>
  <si>
    <t>Good Lost</t>
  </si>
  <si>
    <t>3320065407686</t>
  </si>
  <si>
    <t>PAMELA REZENDE</t>
  </si>
  <si>
    <t>MOTORSTA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</si>
</sst>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R$&quot;\ * #,##0.00_-;\-&quot;R$&quot;\ * #,##0.00_-;_-&quot;R$&quot;\ * &quot;-&quot;??_-;_-@_-"/>
    <numFmt numFmtId="164" formatCode="&quot;R$&quot;\ #,##0.00"/>
    <numFmt numFmtId="167" formatCode="_-&quot;R$&quot;\ * #,##0.00_-;\-&quot;R$&quot;\ * #,##0.00_-;_-&quot;R$&quot;\ * &quot;-&quot;??_-;_-@_-"/>
  </numFmts>
  <fonts count="13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sz val="11"/>
      <color indexed="8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u/>
      <sz val="9"/>
      <color rgb="FF0000FF"/>
      <name val="Segoe UI"/>
      <family val="2"/>
    </font>
    <font>
      <b/>
      <sz val="10"/>
      <color theme="1"/>
      <name val="Segoe UI"/>
      <family val="2"/>
    </font>
    <font>
      <b/>
      <sz val="9"/>
      <color theme="1"/>
      <name val="Segoe UI"/>
      <family val="2"/>
    </font>
    <font>
      <sz val="9"/>
      <color rgb="FF000417"/>
      <name val="Arial"/>
      <family val="2"/>
    </font>
    <font>
      <sz val="9"/>
      <color theme="1"/>
      <name val="Aptos Narrow"/>
      <family val="2"/>
      <scheme val="minor"/>
    </font>
    <font>
      <sz val="10"/>
      <color rgb="FF000417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7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0" fontId="4" fillId="0" borderId="0"/>
    <xf numFmtId="167" fontId="1" fillId="0" borderId="0" applyFont="0" applyFill="0" applyBorder="0" applyAlignment="0" applyProtection="0"/>
  </cellStyleXfs>
  <cellXfs count="28">
    <xf numFmtId="0" fontId="0" fillId="0" borderId="0" xfId="0"/>
    <xf numFmtId="0" fontId="2" fillId="3" borderId="1" xfId="0" applyFont="1" applyFill="1" applyBorder="1" applyAlignment="1">
      <alignment horizontal="center"/>
    </xf>
    <xf numFmtId="14" fontId="2" fillId="3" borderId="1" xfId="0" applyNumberFormat="1" applyFont="1" applyFill="1" applyBorder="1" applyAlignment="1">
      <alignment horizontal="center"/>
    </xf>
    <xf numFmtId="164" fontId="2" fillId="3" borderId="1" xfId="0" applyNumberFormat="1" applyFont="1" applyFill="1" applyBorder="1" applyAlignment="1">
      <alignment horizontal="center"/>
    </xf>
    <xf numFmtId="44" fontId="0" fillId="0" borderId="0" xfId="1" applyFont="1"/>
    <xf numFmtId="1" fontId="6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14" fontId="0" fillId="0" borderId="0" xfId="0" applyNumberFormat="1" applyAlignment="1">
      <alignment horizontal="center"/>
    </xf>
    <xf numFmtId="44" fontId="5" fillId="0" borderId="0" xfId="1" applyFont="1" applyAlignment="1">
      <alignment horizontal="center"/>
    </xf>
    <xf numFmtId="44" fontId="1" fillId="0" borderId="0" xfId="1" applyFont="1" applyAlignment="1">
      <alignment horizontal="center"/>
    </xf>
    <xf numFmtId="1" fontId="2" fillId="0" borderId="0" xfId="0" applyNumberFormat="1" applyFont="1" applyAlignment="1">
      <alignment horizontal="center"/>
    </xf>
    <xf numFmtId="1" fontId="7" fillId="0" borderId="0" xfId="0" applyNumberFormat="1" applyFont="1"/>
    <xf numFmtId="1" fontId="6" fillId="4" borderId="0" xfId="0" applyNumberFormat="1" applyFont="1" applyFill="1" applyAlignment="1">
      <alignment horizontal="center"/>
    </xf>
    <xf numFmtId="1" fontId="8" fillId="0" borderId="0" xfId="0" applyNumberFormat="1" applyFont="1" applyAlignment="1">
      <alignment horizontal="center"/>
    </xf>
    <xf numFmtId="14" fontId="6" fillId="0" borderId="0" xfId="0" applyNumberFormat="1" applyFont="1" applyAlignment="1">
      <alignment horizontal="center"/>
    </xf>
    <xf numFmtId="14" fontId="6" fillId="0" borderId="0" xfId="0" applyNumberFormat="1" applyFont="1"/>
    <xf numFmtId="1" fontId="9" fillId="0" borderId="0" xfId="0" applyNumberFormat="1" applyFont="1"/>
    <xf numFmtId="0" fontId="10" fillId="0" borderId="0" xfId="0" applyFont="1"/>
    <xf numFmtId="0" fontId="1" fillId="5" borderId="2" xfId="0" applyFont="1" applyFill="1" applyBorder="1"/>
    <xf numFmtId="0" fontId="1" fillId="0" borderId="2" xfId="0" applyFont="1" applyBorder="1"/>
    <xf numFmtId="0" fontId="3" fillId="2" borderId="1" xfId="0" applyFont="1" applyFill="1" applyBorder="1" applyAlignment="1">
      <alignment horizontal="center"/>
    </xf>
    <xf numFmtId="0" fontId="0" fillId="0" borderId="0" xfId="0"/>
    <xf numFmtId="167" fontId="11" fillId="0" borderId="0" xfId="3" applyFont="1" applyAlignment="1">
      <alignment horizontal="center"/>
    </xf>
    <xf numFmtId="167" fontId="5" fillId="0" borderId="0" xfId="3" applyFont="1" applyAlignment="1">
      <alignment horizontal="center"/>
    </xf>
    <xf numFmtId="0" fontId="0" fillId="0" borderId="0" xfId="0"/>
    <xf numFmtId="0" fontId="0" fillId="0" borderId="0" xfId="0"/>
    <xf numFmtId="0" fontId="0" fillId="0" borderId="0" xfId="0"/>
    <xf numFmtId="164" fontId="12" fillId="0" borderId="0" xfId="0" applyNumberFormat="1" applyFont="1"/>
  </cellXfs>
  <cellStyles count="4">
    <cellStyle name="Moeda" xfId="1" builtinId="4"/>
    <cellStyle name="Moeda 2" xfId="3" xr:uid="{3D89FBA1-EE39-4123-91CF-1DD4758344F1}"/>
    <cellStyle name="Normal" xfId="0" builtinId="0"/>
    <cellStyle name="Normal 2" xfId="2" xr:uid="{3EB34BAA-C77B-4C63-9079-9D45E3D91F7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FE3C4B-7688-4240-85CF-15FF795A1F57}">
  <dimension ref="A1:J22"/>
  <sheetViews>
    <sheetView topLeftCell="A4" workbookViewId="0">
      <selection activeCell="B3" sqref="B3"/>
    </sheetView>
  </sheetViews>
  <sheetFormatPr defaultColWidth="12.296875" defaultRowHeight="13.8"/>
  <cols>
    <col min="1" max="1" width="16" bestFit="1" customWidth="1"/>
    <col min="2" max="2" width="23.296875" bestFit="1" customWidth="1"/>
    <col min="6" max="6" width="14.09765625" bestFit="1" customWidth="1"/>
    <col min="7" max="7" width="14.8984375" bestFit="1" customWidth="1"/>
  </cols>
  <sheetData>
    <row r="1" spans="1:10" ht="26.25">
      <c r="A1" s="20" t="s">
        <v>0</v>
      </c>
      <c r="B1" s="20"/>
      <c r="C1" s="20"/>
      <c r="D1" s="20"/>
      <c r="E1" s="20"/>
      <c r="F1" s="20"/>
      <c r="G1" s="20"/>
      <c r="H1" s="20"/>
      <c r="I1" s="20"/>
      <c r="J1" s="20"/>
    </row>
    <row r="2" spans="1:10" ht="15">
      <c r="A2" s="1" t="s">
        <v>1</v>
      </c>
      <c r="B2" s="1" t="s">
        <v>2</v>
      </c>
      <c r="C2" s="1" t="s">
        <v>3</v>
      </c>
      <c r="D2" s="1" t="s">
        <v>4</v>
      </c>
      <c r="E2" s="2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</row>
    <row r="3" spans="1:10" ht="15">
      <c r="A3" s="5" t="s">
        <v>16</v>
      </c>
      <c r="B3" t="s">
        <v>26</v>
      </c>
      <c r="C3" t="s">
        <v>15</v>
      </c>
      <c r="D3" t="s">
        <v>14</v>
      </c>
      <c r="E3" s="7">
        <v>46140</v>
      </c>
      <c r="F3" s="9">
        <v>2.99</v>
      </c>
      <c r="G3" s="4">
        <v>100</v>
      </c>
      <c r="H3" s="4">
        <f>SUM(F3,G3)</f>
        <v>102.99</v>
      </c>
      <c r="I3" t="s">
        <v>13</v>
      </c>
      <c r="J3" t="s">
        <v>12</v>
      </c>
    </row>
    <row r="4" spans="1:10" ht="15">
      <c r="A4" s="5" t="s">
        <v>17</v>
      </c>
      <c r="B4" t="s">
        <v>27</v>
      </c>
      <c r="C4" t="s">
        <v>15</v>
      </c>
      <c r="D4" t="s">
        <v>14</v>
      </c>
      <c r="E4" s="7">
        <v>46143</v>
      </c>
      <c r="F4" s="9">
        <v>1.1599999999999999</v>
      </c>
      <c r="G4" s="4">
        <v>100</v>
      </c>
      <c r="H4" s="4">
        <f t="shared" ref="H4:H22" si="0">SUM(F4,G4)</f>
        <v>101.16</v>
      </c>
      <c r="I4" t="s">
        <v>13</v>
      </c>
      <c r="J4" t="s">
        <v>12</v>
      </c>
    </row>
    <row r="5" spans="1:10" ht="15">
      <c r="A5" s="5" t="s">
        <v>18</v>
      </c>
      <c r="B5" t="s">
        <v>27</v>
      </c>
      <c r="C5" t="s">
        <v>15</v>
      </c>
      <c r="D5" t="s">
        <v>14</v>
      </c>
      <c r="E5" s="7">
        <v>46149</v>
      </c>
      <c r="F5" s="9">
        <v>22.2</v>
      </c>
      <c r="G5" s="4">
        <v>100</v>
      </c>
      <c r="H5" s="4">
        <f t="shared" si="0"/>
        <v>122.2</v>
      </c>
      <c r="I5" t="s">
        <v>13</v>
      </c>
      <c r="J5" t="s">
        <v>12</v>
      </c>
    </row>
    <row r="6" spans="1:10" ht="14.4">
      <c r="A6" s="6" t="s">
        <v>19</v>
      </c>
      <c r="B6" t="s">
        <v>28</v>
      </c>
      <c r="C6" t="s">
        <v>15</v>
      </c>
      <c r="D6" t="s">
        <v>14</v>
      </c>
      <c r="E6" s="7">
        <v>46153</v>
      </c>
      <c r="F6" s="9">
        <v>73.989999999999995</v>
      </c>
      <c r="G6" s="4">
        <v>100</v>
      </c>
      <c r="H6" s="4">
        <f t="shared" si="0"/>
        <v>173.99</v>
      </c>
      <c r="I6" t="s">
        <v>13</v>
      </c>
      <c r="J6" t="s">
        <v>12</v>
      </c>
    </row>
    <row r="7" spans="1:10" ht="14.4">
      <c r="A7" s="5" t="s">
        <v>20</v>
      </c>
      <c r="B7" t="s">
        <v>29</v>
      </c>
      <c r="C7" t="s">
        <v>15</v>
      </c>
      <c r="D7" t="s">
        <v>14</v>
      </c>
      <c r="E7" s="7">
        <v>46141</v>
      </c>
      <c r="F7" s="9">
        <v>22.56</v>
      </c>
      <c r="G7" s="4">
        <v>100</v>
      </c>
      <c r="H7" s="4">
        <f t="shared" si="0"/>
        <v>122.56</v>
      </c>
      <c r="I7" t="s">
        <v>13</v>
      </c>
      <c r="J7" t="s">
        <v>12</v>
      </c>
    </row>
    <row r="8" spans="1:10" ht="14.4">
      <c r="A8" s="5" t="s">
        <v>21</v>
      </c>
      <c r="B8" t="s">
        <v>29</v>
      </c>
      <c r="C8" t="s">
        <v>15</v>
      </c>
      <c r="D8" t="s">
        <v>14</v>
      </c>
      <c r="E8" s="7">
        <v>46146</v>
      </c>
      <c r="F8" s="9">
        <v>74.47</v>
      </c>
      <c r="G8" s="4">
        <v>100</v>
      </c>
      <c r="H8" s="4">
        <f t="shared" si="0"/>
        <v>174.47</v>
      </c>
      <c r="I8" t="s">
        <v>13</v>
      </c>
      <c r="J8" t="s">
        <v>12</v>
      </c>
    </row>
    <row r="9" spans="1:10" ht="15">
      <c r="A9" s="5" t="s">
        <v>22</v>
      </c>
      <c r="B9" t="s">
        <v>31</v>
      </c>
      <c r="C9" t="s">
        <v>15</v>
      </c>
      <c r="D9" t="s">
        <v>14</v>
      </c>
      <c r="E9" s="7">
        <v>46147</v>
      </c>
      <c r="F9" s="9">
        <v>0.5</v>
      </c>
      <c r="G9" s="4">
        <v>100</v>
      </c>
      <c r="H9" s="4">
        <f t="shared" si="0"/>
        <v>100.5</v>
      </c>
      <c r="I9" t="s">
        <v>13</v>
      </c>
      <c r="J9" t="s">
        <v>12</v>
      </c>
    </row>
    <row r="10" spans="1:10" ht="15">
      <c r="A10" s="5" t="s">
        <v>23</v>
      </c>
      <c r="B10" t="s">
        <v>30</v>
      </c>
      <c r="C10" t="s">
        <v>15</v>
      </c>
      <c r="D10" t="s">
        <v>14</v>
      </c>
      <c r="E10" s="7">
        <v>46148</v>
      </c>
      <c r="F10" s="9">
        <v>91.69</v>
      </c>
      <c r="G10" s="4">
        <v>100</v>
      </c>
      <c r="H10" s="4">
        <f t="shared" si="0"/>
        <v>191.69</v>
      </c>
      <c r="I10" t="s">
        <v>13</v>
      </c>
      <c r="J10" t="s">
        <v>12</v>
      </c>
    </row>
    <row r="11" spans="1:10" ht="15">
      <c r="A11" s="5" t="s">
        <v>24</v>
      </c>
      <c r="B11" t="s">
        <v>31</v>
      </c>
      <c r="C11" t="s">
        <v>15</v>
      </c>
      <c r="D11" t="s">
        <v>14</v>
      </c>
      <c r="E11" s="7">
        <v>46156</v>
      </c>
      <c r="F11" s="9">
        <v>41.98</v>
      </c>
      <c r="G11" s="4">
        <v>100</v>
      </c>
      <c r="H11" s="4">
        <f t="shared" si="0"/>
        <v>141.97999999999999</v>
      </c>
      <c r="I11" t="s">
        <v>13</v>
      </c>
      <c r="J11" t="s">
        <v>12</v>
      </c>
    </row>
    <row r="12" spans="1:10" ht="15">
      <c r="A12" s="5" t="s">
        <v>25</v>
      </c>
      <c r="B12" t="s">
        <v>32</v>
      </c>
      <c r="C12" t="s">
        <v>15</v>
      </c>
      <c r="D12" t="s">
        <v>14</v>
      </c>
      <c r="E12" s="7">
        <v>46156</v>
      </c>
      <c r="F12" s="9">
        <v>7.6</v>
      </c>
      <c r="G12" s="4">
        <v>100</v>
      </c>
      <c r="H12" s="4">
        <f t="shared" si="0"/>
        <v>107.6</v>
      </c>
      <c r="I12" t="s">
        <v>13</v>
      </c>
      <c r="J12" t="s">
        <v>12</v>
      </c>
    </row>
    <row r="13" spans="1:10" ht="15">
      <c r="A13" s="10">
        <v>3320029379543</v>
      </c>
      <c r="B13" t="s">
        <v>33</v>
      </c>
      <c r="C13" t="s">
        <v>15</v>
      </c>
      <c r="D13" t="s">
        <v>11</v>
      </c>
      <c r="E13" s="7">
        <v>46148</v>
      </c>
      <c r="F13" s="8">
        <v>93.09</v>
      </c>
      <c r="G13" s="4">
        <v>0</v>
      </c>
      <c r="H13" s="4">
        <f t="shared" si="0"/>
        <v>93.09</v>
      </c>
      <c r="I13" t="s">
        <v>33</v>
      </c>
    </row>
    <row r="14" spans="1:10" ht="15">
      <c r="A14" s="10">
        <v>3320079373182</v>
      </c>
      <c r="B14" t="s">
        <v>33</v>
      </c>
      <c r="C14" t="s">
        <v>15</v>
      </c>
      <c r="D14" t="s">
        <v>11</v>
      </c>
      <c r="E14" s="7">
        <v>46149</v>
      </c>
      <c r="F14" s="8">
        <v>10.78</v>
      </c>
      <c r="G14" s="4">
        <v>0</v>
      </c>
      <c r="H14" s="4">
        <f t="shared" si="0"/>
        <v>10.78</v>
      </c>
      <c r="I14" t="s">
        <v>33</v>
      </c>
    </row>
    <row r="15" spans="1:10" ht="15">
      <c r="A15" s="10">
        <v>3320018317833</v>
      </c>
      <c r="B15" t="s">
        <v>33</v>
      </c>
      <c r="C15" t="s">
        <v>15</v>
      </c>
      <c r="D15" t="s">
        <v>11</v>
      </c>
      <c r="E15" s="7">
        <v>46147</v>
      </c>
      <c r="F15" s="8">
        <v>4.7</v>
      </c>
      <c r="G15" s="4">
        <v>0</v>
      </c>
      <c r="H15" s="4">
        <f t="shared" si="0"/>
        <v>4.7</v>
      </c>
      <c r="I15" t="s">
        <v>33</v>
      </c>
    </row>
    <row r="16" spans="1:10" ht="15">
      <c r="A16" s="10">
        <v>6040226525380</v>
      </c>
      <c r="B16" t="s">
        <v>33</v>
      </c>
      <c r="C16" t="s">
        <v>15</v>
      </c>
      <c r="D16" t="s">
        <v>11</v>
      </c>
      <c r="E16" s="7">
        <v>46146</v>
      </c>
      <c r="F16" s="8">
        <v>1.36</v>
      </c>
      <c r="G16" s="4">
        <v>0</v>
      </c>
      <c r="H16" s="4">
        <f t="shared" si="0"/>
        <v>1.36</v>
      </c>
      <c r="I16" t="s">
        <v>33</v>
      </c>
    </row>
    <row r="17" spans="1:9" ht="15">
      <c r="A17" s="10">
        <v>3320078365595</v>
      </c>
      <c r="B17" t="s">
        <v>33</v>
      </c>
      <c r="C17" t="s">
        <v>15</v>
      </c>
      <c r="D17" t="s">
        <v>11</v>
      </c>
      <c r="E17" s="7">
        <v>46148</v>
      </c>
      <c r="F17" s="8">
        <v>10</v>
      </c>
      <c r="G17" s="4">
        <v>0</v>
      </c>
      <c r="H17" s="4">
        <f t="shared" si="0"/>
        <v>10</v>
      </c>
      <c r="I17" t="s">
        <v>33</v>
      </c>
    </row>
    <row r="18" spans="1:9" ht="15">
      <c r="A18" s="10">
        <v>3320031372960</v>
      </c>
      <c r="B18" t="s">
        <v>33</v>
      </c>
      <c r="C18" t="s">
        <v>15</v>
      </c>
      <c r="D18" t="s">
        <v>11</v>
      </c>
      <c r="E18" s="7">
        <v>46154</v>
      </c>
      <c r="F18" s="8">
        <v>21.9</v>
      </c>
      <c r="G18" s="4">
        <v>0</v>
      </c>
      <c r="H18" s="4">
        <f t="shared" si="0"/>
        <v>21.9</v>
      </c>
      <c r="I18" t="s">
        <v>33</v>
      </c>
    </row>
    <row r="19" spans="1:9" ht="15">
      <c r="A19" s="10">
        <v>6042726273673</v>
      </c>
      <c r="B19" t="s">
        <v>33</v>
      </c>
      <c r="C19" t="s">
        <v>15</v>
      </c>
      <c r="D19" t="s">
        <v>11</v>
      </c>
      <c r="E19" s="7">
        <v>46154</v>
      </c>
      <c r="F19" s="8">
        <v>3.27</v>
      </c>
      <c r="G19" s="4">
        <v>0</v>
      </c>
      <c r="H19" s="4">
        <f t="shared" si="0"/>
        <v>3.27</v>
      </c>
      <c r="I19" t="s">
        <v>33</v>
      </c>
    </row>
    <row r="20" spans="1:9" ht="15">
      <c r="A20" s="10">
        <v>6042526524649</v>
      </c>
      <c r="B20" t="s">
        <v>33</v>
      </c>
      <c r="C20" t="s">
        <v>15</v>
      </c>
      <c r="D20" t="s">
        <v>11</v>
      </c>
      <c r="E20" s="7">
        <v>46154</v>
      </c>
      <c r="F20" s="8">
        <v>45.42</v>
      </c>
      <c r="G20" s="4">
        <v>0</v>
      </c>
      <c r="H20" s="4">
        <f t="shared" si="0"/>
        <v>45.42</v>
      </c>
      <c r="I20" t="s">
        <v>33</v>
      </c>
    </row>
    <row r="21" spans="1:9" ht="15">
      <c r="A21" s="10">
        <v>3320022341965</v>
      </c>
      <c r="B21" t="s">
        <v>33</v>
      </c>
      <c r="C21" t="s">
        <v>15</v>
      </c>
      <c r="D21" t="s">
        <v>11</v>
      </c>
      <c r="E21" s="7">
        <v>46150</v>
      </c>
      <c r="F21" s="8">
        <v>0.9</v>
      </c>
      <c r="G21" s="4">
        <v>0</v>
      </c>
      <c r="H21" s="4">
        <f t="shared" si="0"/>
        <v>0.9</v>
      </c>
      <c r="I21" t="s">
        <v>33</v>
      </c>
    </row>
    <row r="22" spans="1:9" ht="15">
      <c r="A22" s="10">
        <v>6040226115898</v>
      </c>
      <c r="B22" t="s">
        <v>33</v>
      </c>
      <c r="C22" t="s">
        <v>15</v>
      </c>
      <c r="D22" t="s">
        <v>11</v>
      </c>
      <c r="E22" s="7">
        <v>46154</v>
      </c>
      <c r="F22" s="8">
        <v>54.98</v>
      </c>
      <c r="G22" s="4">
        <v>0</v>
      </c>
      <c r="H22" s="4">
        <f t="shared" si="0"/>
        <v>54.98</v>
      </c>
      <c r="I22" t="s">
        <v>33</v>
      </c>
    </row>
  </sheetData>
  <mergeCells count="1">
    <mergeCell ref="A1:J1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AC1248-6FFD-4224-A951-753C70D4AFF1}">
  <dimension ref="A1:J22"/>
  <sheetViews>
    <sheetView workbookViewId="0">
      <selection sqref="A1:J6"/>
    </sheetView>
  </sheetViews>
  <sheetFormatPr defaultRowHeight="13.8"/>
  <cols>
    <col min="1" max="1" width="16" bestFit="1" customWidth="1"/>
    <col min="2" max="2" width="24.296875" bestFit="1" customWidth="1"/>
    <col min="3" max="3" width="6.8984375" bestFit="1" customWidth="1"/>
    <col min="4" max="4" width="12.3984375" bestFit="1" customWidth="1"/>
    <col min="5" max="5" width="10.3984375" bestFit="1" customWidth="1"/>
    <col min="6" max="6" width="15.09765625" bestFit="1" customWidth="1"/>
    <col min="7" max="7" width="16.09765625" bestFit="1" customWidth="1"/>
    <col min="8" max="8" width="10.59765625" bestFit="1" customWidth="1"/>
    <col min="9" max="9" width="9.3984375" bestFit="1" customWidth="1"/>
    <col min="10" max="10" width="12.3984375" bestFit="1" customWidth="1"/>
  </cols>
  <sheetData>
    <row r="1" spans="1:10" ht="26.25">
      <c r="A1" s="20" t="s">
        <v>0</v>
      </c>
      <c r="B1" s="20"/>
      <c r="C1" s="20"/>
      <c r="D1" s="20"/>
      <c r="E1" s="20"/>
      <c r="F1" s="20"/>
      <c r="G1" s="20"/>
      <c r="H1" s="20"/>
      <c r="I1" s="20"/>
      <c r="J1" s="20"/>
    </row>
    <row r="2" spans="1:10" ht="15">
      <c r="A2" s="1" t="s">
        <v>1</v>
      </c>
      <c r="B2" s="1" t="s">
        <v>2</v>
      </c>
      <c r="C2" s="1" t="s">
        <v>3</v>
      </c>
      <c r="D2" s="1" t="s">
        <v>4</v>
      </c>
      <c r="E2" s="2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</row>
    <row r="3" spans="1:10" ht="15">
      <c r="A3" s="5">
        <v>3320058389358</v>
      </c>
      <c r="B3" t="s">
        <v>33</v>
      </c>
      <c r="C3" t="s">
        <v>35</v>
      </c>
      <c r="D3" t="s">
        <v>11</v>
      </c>
      <c r="E3" s="14">
        <v>46153</v>
      </c>
      <c r="F3" s="8">
        <v>18.89</v>
      </c>
      <c r="G3" s="4">
        <v>0</v>
      </c>
      <c r="H3" s="4">
        <f>SUM(F3,G3)</f>
        <v>18.89</v>
      </c>
      <c r="I3" t="s">
        <v>33</v>
      </c>
      <c r="J3" t="s">
        <v>12</v>
      </c>
    </row>
    <row r="4" spans="1:10" ht="15">
      <c r="A4" s="5">
        <v>3320027394954</v>
      </c>
      <c r="B4" t="s">
        <v>33</v>
      </c>
      <c r="C4" t="s">
        <v>35</v>
      </c>
      <c r="D4" t="s">
        <v>11</v>
      </c>
      <c r="E4" s="14">
        <v>46153</v>
      </c>
      <c r="F4" s="8">
        <v>2</v>
      </c>
      <c r="G4" s="4">
        <v>0</v>
      </c>
      <c r="H4" s="4">
        <f>SUM(F4,G4)</f>
        <v>2</v>
      </c>
      <c r="I4" t="s">
        <v>33</v>
      </c>
      <c r="J4" t="s">
        <v>12</v>
      </c>
    </row>
    <row r="5" spans="1:10" ht="15">
      <c r="A5" s="12">
        <v>3320020436444</v>
      </c>
      <c r="B5" t="s">
        <v>33</v>
      </c>
      <c r="C5" t="s">
        <v>35</v>
      </c>
      <c r="D5" t="s">
        <v>11</v>
      </c>
      <c r="E5" s="15">
        <v>46164</v>
      </c>
      <c r="F5" s="8">
        <v>19.68</v>
      </c>
      <c r="G5" s="4">
        <v>0</v>
      </c>
      <c r="H5" s="4">
        <f>SUM(F5,G5)</f>
        <v>19.68</v>
      </c>
      <c r="I5" t="s">
        <v>33</v>
      </c>
      <c r="J5" t="s">
        <v>12</v>
      </c>
    </row>
    <row r="6" spans="1:10" ht="15">
      <c r="A6" s="13">
        <v>3320065407686</v>
      </c>
      <c r="B6" t="s">
        <v>34</v>
      </c>
      <c r="C6" t="s">
        <v>35</v>
      </c>
      <c r="D6" t="s">
        <v>14</v>
      </c>
      <c r="E6" s="15">
        <v>46163</v>
      </c>
      <c r="F6" s="8">
        <v>1.18</v>
      </c>
      <c r="G6" s="4">
        <v>100</v>
      </c>
      <c r="H6" s="4">
        <f>SUM(F6,G6)</f>
        <v>101.18</v>
      </c>
      <c r="I6" t="s">
        <v>13</v>
      </c>
      <c r="J6" t="s">
        <v>12</v>
      </c>
    </row>
    <row r="7" spans="1:10" ht="15">
      <c r="A7" s="11"/>
      <c r="E7" s="7"/>
      <c r="F7" s="9"/>
      <c r="G7" s="4"/>
      <c r="H7" s="4"/>
    </row>
    <row r="8" spans="1:10" ht="15">
      <c r="A8" s="5"/>
      <c r="E8" s="7"/>
      <c r="F8" s="9"/>
      <c r="G8" s="4"/>
      <c r="H8" s="4"/>
    </row>
    <row r="9" spans="1:10" ht="15">
      <c r="A9" s="5"/>
      <c r="E9" s="7"/>
      <c r="F9" s="9"/>
      <c r="G9" s="4"/>
      <c r="H9" s="4"/>
    </row>
    <row r="10" spans="1:10" ht="15">
      <c r="A10" s="5"/>
      <c r="E10" s="7"/>
      <c r="F10" s="9"/>
      <c r="G10" s="4"/>
      <c r="H10" s="4"/>
    </row>
    <row r="11" spans="1:10" ht="15">
      <c r="A11" s="5"/>
      <c r="E11" s="7"/>
      <c r="F11" s="9"/>
      <c r="G11" s="4"/>
      <c r="H11" s="4"/>
    </row>
    <row r="12" spans="1:10" ht="15">
      <c r="A12" s="5"/>
      <c r="E12" s="7"/>
      <c r="F12" s="9"/>
      <c r="G12" s="4"/>
      <c r="H12" s="4"/>
    </row>
    <row r="13" spans="1:10" ht="15">
      <c r="A13" s="10"/>
      <c r="E13" s="7"/>
      <c r="F13" s="8"/>
      <c r="G13" s="4"/>
      <c r="H13" s="4"/>
    </row>
    <row r="14" spans="1:10" ht="15">
      <c r="A14" s="10"/>
      <c r="E14" s="7"/>
      <c r="F14" s="8"/>
      <c r="G14" s="4"/>
      <c r="H14" s="4"/>
    </row>
    <row r="15" spans="1:10" ht="15">
      <c r="A15" s="10"/>
      <c r="E15" s="7"/>
      <c r="F15" s="8"/>
      <c r="G15" s="4"/>
      <c r="H15" s="4"/>
    </row>
    <row r="16" spans="1:10" ht="15">
      <c r="A16" s="10"/>
      <c r="E16" s="7"/>
      <c r="F16" s="8"/>
      <c r="G16" s="4"/>
      <c r="H16" s="4"/>
    </row>
    <row r="17" spans="1:8" ht="15">
      <c r="A17" s="10"/>
      <c r="E17" s="7"/>
      <c r="F17" s="8"/>
      <c r="G17" s="4"/>
      <c r="H17" s="4"/>
    </row>
    <row r="18" spans="1:8" ht="15">
      <c r="A18" s="10"/>
      <c r="E18" s="7"/>
      <c r="F18" s="8"/>
      <c r="G18" s="4"/>
      <c r="H18" s="4"/>
    </row>
    <row r="19" spans="1:8" ht="15">
      <c r="A19" s="10"/>
      <c r="E19" s="7"/>
      <c r="F19" s="8"/>
      <c r="G19" s="4"/>
      <c r="H19" s="4"/>
    </row>
    <row r="20" spans="1:8" ht="15">
      <c r="A20" s="10"/>
      <c r="E20" s="7"/>
      <c r="F20" s="8"/>
      <c r="G20" s="4"/>
      <c r="H20" s="4"/>
    </row>
    <row r="21" spans="1:8" ht="15">
      <c r="A21" s="10"/>
      <c r="E21" s="7"/>
      <c r="F21" s="8"/>
      <c r="G21" s="4"/>
      <c r="H21" s="4"/>
    </row>
    <row r="22" spans="1:8" ht="15">
      <c r="A22" s="10"/>
      <c r="E22" s="7"/>
      <c r="F22" s="8"/>
      <c r="G22" s="4"/>
      <c r="H22" s="4"/>
    </row>
  </sheetData>
  <mergeCells count="1">
    <mergeCell ref="A1:J1"/>
  </mergeCell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57342D-FA45-4ED6-BFA5-A60E923C5E7F}">
  <dimension ref="A1:J13"/>
  <sheetViews>
    <sheetView workbookViewId="0">
      <selection activeCell="C6" sqref="C6:C13"/>
    </sheetView>
  </sheetViews>
  <sheetFormatPr defaultRowHeight="13.8"/>
  <cols>
    <col min="1" max="1" width="14.09765625" bestFit="1" customWidth="1"/>
    <col min="5" max="5" width="10.3984375" bestFit="1" customWidth="1"/>
    <col min="7" max="7" width="16.09765625" bestFit="1" customWidth="1"/>
    <col min="8" max="8" width="10.59765625" bestFit="1" customWidth="1"/>
  </cols>
  <sheetData>
    <row r="1" spans="1:10" ht="26.25">
      <c r="A1" s="20" t="s">
        <v>0</v>
      </c>
      <c r="B1" s="20"/>
      <c r="C1" s="20"/>
      <c r="D1" s="20"/>
      <c r="E1" s="20"/>
      <c r="F1" s="20"/>
      <c r="G1" s="20"/>
      <c r="H1" s="20"/>
      <c r="I1" s="20"/>
      <c r="J1" s="20"/>
    </row>
    <row r="2" spans="1:10" ht="15">
      <c r="A2" s="1" t="s">
        <v>1</v>
      </c>
      <c r="B2" s="1" t="s">
        <v>2</v>
      </c>
      <c r="C2" s="1" t="s">
        <v>3</v>
      </c>
      <c r="D2" s="1" t="s">
        <v>4</v>
      </c>
      <c r="E2" s="2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</row>
    <row r="3" spans="1:10" ht="15">
      <c r="A3" s="18" t="s">
        <v>37</v>
      </c>
      <c r="B3" t="s">
        <v>33</v>
      </c>
      <c r="C3" t="s">
        <v>15</v>
      </c>
      <c r="D3" t="s">
        <v>11</v>
      </c>
      <c r="E3" s="14">
        <v>46169</v>
      </c>
      <c r="F3" s="8">
        <v>83.47</v>
      </c>
      <c r="G3" s="4">
        <v>0</v>
      </c>
      <c r="H3" s="17">
        <v>83.47</v>
      </c>
      <c r="I3" t="s">
        <v>33</v>
      </c>
      <c r="J3" t="s">
        <v>12</v>
      </c>
    </row>
    <row r="4" spans="1:10" ht="15">
      <c r="A4" s="19" t="s">
        <v>38</v>
      </c>
      <c r="B4" t="s">
        <v>33</v>
      </c>
      <c r="C4" t="s">
        <v>15</v>
      </c>
      <c r="D4" t="s">
        <v>11</v>
      </c>
      <c r="E4" s="14">
        <v>46169</v>
      </c>
      <c r="F4" s="8">
        <v>2</v>
      </c>
      <c r="G4" s="4">
        <v>0</v>
      </c>
      <c r="H4" s="4">
        <f t="shared" ref="H4:H12" si="0">SUM(F4,G4)</f>
        <v>2</v>
      </c>
      <c r="I4" t="s">
        <v>33</v>
      </c>
      <c r="J4" t="s">
        <v>12</v>
      </c>
    </row>
    <row r="5" spans="1:10" ht="15">
      <c r="A5" s="18" t="s">
        <v>39</v>
      </c>
      <c r="B5" t="s">
        <v>33</v>
      </c>
      <c r="C5" t="s">
        <v>15</v>
      </c>
      <c r="D5" t="s">
        <v>11</v>
      </c>
      <c r="E5" s="14">
        <v>46169</v>
      </c>
      <c r="F5" s="8">
        <v>19.68</v>
      </c>
      <c r="G5" s="4">
        <v>0</v>
      </c>
      <c r="H5" s="4">
        <f t="shared" si="0"/>
        <v>19.68</v>
      </c>
      <c r="I5" t="s">
        <v>33</v>
      </c>
      <c r="J5" t="s">
        <v>12</v>
      </c>
    </row>
    <row r="6" spans="1:10" ht="15">
      <c r="A6" s="19" t="s">
        <v>40</v>
      </c>
      <c r="B6" t="s">
        <v>33</v>
      </c>
      <c r="C6" t="s">
        <v>15</v>
      </c>
      <c r="D6" t="s">
        <v>11</v>
      </c>
      <c r="E6" s="14">
        <v>46169</v>
      </c>
      <c r="F6" s="8">
        <v>1.18</v>
      </c>
      <c r="G6" s="4">
        <v>0</v>
      </c>
      <c r="H6" s="4">
        <v>197.21</v>
      </c>
      <c r="I6" t="s">
        <v>33</v>
      </c>
      <c r="J6" t="s">
        <v>12</v>
      </c>
    </row>
    <row r="7" spans="1:10" ht="14.4">
      <c r="A7" s="10">
        <v>3320032440761</v>
      </c>
      <c r="B7" s="26" t="s">
        <v>33</v>
      </c>
      <c r="C7" s="26" t="s">
        <v>15</v>
      </c>
      <c r="D7" s="26" t="s">
        <v>41</v>
      </c>
      <c r="E7" s="14">
        <v>46172</v>
      </c>
      <c r="F7" s="23">
        <v>4</v>
      </c>
      <c r="G7" s="4">
        <v>0</v>
      </c>
      <c r="H7" s="22">
        <v>4</v>
      </c>
      <c r="I7" s="26" t="s">
        <v>33</v>
      </c>
      <c r="J7" s="26" t="s">
        <v>12</v>
      </c>
    </row>
    <row r="8" spans="1:10" ht="14.4">
      <c r="A8" s="10">
        <v>3320032446235</v>
      </c>
      <c r="B8" s="26" t="s">
        <v>33</v>
      </c>
      <c r="C8" s="26" t="s">
        <v>15</v>
      </c>
      <c r="D8" s="26" t="s">
        <v>41</v>
      </c>
      <c r="E8" s="14">
        <v>46172</v>
      </c>
      <c r="F8" s="23">
        <v>27.32</v>
      </c>
      <c r="G8" s="4">
        <v>0</v>
      </c>
      <c r="H8" s="22">
        <v>27.32</v>
      </c>
      <c r="I8" s="26" t="s">
        <v>33</v>
      </c>
      <c r="J8" s="26" t="s">
        <v>12</v>
      </c>
    </row>
    <row r="9" spans="1:10" ht="14.4">
      <c r="A9" s="10">
        <v>3320061449827</v>
      </c>
      <c r="B9" s="26" t="s">
        <v>33</v>
      </c>
      <c r="C9" s="26" t="s">
        <v>15</v>
      </c>
      <c r="D9" s="26" t="s">
        <v>41</v>
      </c>
      <c r="E9" s="14">
        <v>46172</v>
      </c>
      <c r="F9" s="23">
        <v>3</v>
      </c>
      <c r="G9" s="4">
        <v>0</v>
      </c>
      <c r="H9" s="22">
        <v>3</v>
      </c>
      <c r="I9" s="26" t="s">
        <v>33</v>
      </c>
      <c r="J9" s="26" t="s">
        <v>12</v>
      </c>
    </row>
    <row r="10" spans="1:10" ht="14.4">
      <c r="A10" s="10">
        <v>6040226292911</v>
      </c>
      <c r="B10" s="26" t="s">
        <v>33</v>
      </c>
      <c r="C10" s="26" t="s">
        <v>15</v>
      </c>
      <c r="D10" s="26" t="s">
        <v>41</v>
      </c>
      <c r="E10" s="14">
        <v>46172</v>
      </c>
      <c r="F10" s="23">
        <v>0.16</v>
      </c>
      <c r="G10" s="4">
        <v>0</v>
      </c>
      <c r="H10" s="22">
        <v>0.16</v>
      </c>
      <c r="I10" s="26" t="s">
        <v>33</v>
      </c>
      <c r="J10" s="26" t="s">
        <v>12</v>
      </c>
    </row>
    <row r="11" spans="1:10" ht="14.4">
      <c r="A11" s="10">
        <v>6051426294827</v>
      </c>
      <c r="B11" s="26" t="s">
        <v>33</v>
      </c>
      <c r="C11" s="26" t="s">
        <v>15</v>
      </c>
      <c r="D11" s="26" t="s">
        <v>41</v>
      </c>
      <c r="E11" s="14">
        <v>46172</v>
      </c>
      <c r="F11" s="23">
        <v>0.54</v>
      </c>
      <c r="G11" s="4">
        <v>0</v>
      </c>
      <c r="H11" s="22">
        <v>0.54</v>
      </c>
      <c r="I11" s="26" t="s">
        <v>33</v>
      </c>
      <c r="J11" s="26" t="s">
        <v>12</v>
      </c>
    </row>
    <row r="12" spans="1:10" ht="14.4">
      <c r="A12" s="10">
        <v>6051526155904</v>
      </c>
      <c r="B12" s="26" t="s">
        <v>33</v>
      </c>
      <c r="C12" s="26" t="s">
        <v>15</v>
      </c>
      <c r="D12" s="26" t="s">
        <v>41</v>
      </c>
      <c r="E12" s="14">
        <v>46172</v>
      </c>
      <c r="F12" s="23">
        <v>3.25</v>
      </c>
      <c r="G12" s="4">
        <v>0</v>
      </c>
      <c r="H12" s="22">
        <v>3.25</v>
      </c>
      <c r="I12" s="26" t="s">
        <v>33</v>
      </c>
      <c r="J12" s="26" t="s">
        <v>12</v>
      </c>
    </row>
    <row r="13" spans="1:10" ht="14.4">
      <c r="A13" s="10">
        <v>6051526257232</v>
      </c>
      <c r="B13" s="26" t="s">
        <v>33</v>
      </c>
      <c r="C13" s="26" t="s">
        <v>15</v>
      </c>
      <c r="D13" s="26" t="s">
        <v>41</v>
      </c>
      <c r="E13" s="14">
        <v>46172</v>
      </c>
      <c r="F13" s="23">
        <v>1.3</v>
      </c>
      <c r="G13" s="4">
        <v>0</v>
      </c>
      <c r="H13" s="22">
        <v>1.3</v>
      </c>
      <c r="I13" s="26" t="s">
        <v>33</v>
      </c>
      <c r="J13" s="26" t="s">
        <v>12</v>
      </c>
    </row>
  </sheetData>
  <mergeCells count="1">
    <mergeCell ref="A1:J1"/>
  </mergeCells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2D2A32-D49E-4976-8101-7E1F612804FB}">
  <dimension ref="A1:J15"/>
  <sheetViews>
    <sheetView tabSelected="1" workbookViewId="0">
      <selection activeCell="A8" sqref="A8"/>
    </sheetView>
  </sheetViews>
  <sheetFormatPr defaultRowHeight="13.8"/>
  <cols>
    <col min="1" max="1" width="14.09765625" bestFit="1" customWidth="1"/>
    <col min="2" max="2" width="24.296875" bestFit="1" customWidth="1"/>
    <col min="4" max="4" width="12.3984375" bestFit="1" customWidth="1"/>
    <col min="5" max="5" width="10.3984375" bestFit="1" customWidth="1"/>
    <col min="6" max="6" width="9.3984375" bestFit="1" customWidth="1"/>
    <col min="7" max="7" width="16.09765625" bestFit="1" customWidth="1"/>
    <col min="8" max="8" width="10.59765625" bestFit="1" customWidth="1"/>
  </cols>
  <sheetData>
    <row r="1" spans="1:10" ht="26.25">
      <c r="A1" s="20" t="s">
        <v>0</v>
      </c>
      <c r="B1" s="20"/>
      <c r="C1" s="20"/>
      <c r="D1" s="20"/>
      <c r="E1" s="20"/>
      <c r="F1" s="20"/>
      <c r="G1" s="20"/>
      <c r="H1" s="20"/>
      <c r="I1" s="20"/>
      <c r="J1" s="20"/>
    </row>
    <row r="2" spans="1:10" ht="15">
      <c r="A2" s="1" t="s">
        <v>1</v>
      </c>
      <c r="B2" s="1" t="s">
        <v>2</v>
      </c>
      <c r="C2" s="1" t="s">
        <v>3</v>
      </c>
      <c r="D2" s="1" t="s">
        <v>4</v>
      </c>
      <c r="E2" s="2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</row>
    <row r="3" spans="1:10" ht="14.4">
      <c r="A3" s="16">
        <v>3320049458848</v>
      </c>
      <c r="B3" t="s">
        <v>33</v>
      </c>
      <c r="C3" t="s">
        <v>35</v>
      </c>
      <c r="D3" t="s">
        <v>14</v>
      </c>
      <c r="E3" s="14">
        <v>46170</v>
      </c>
      <c r="F3" s="27">
        <v>55.29</v>
      </c>
      <c r="G3" s="4">
        <v>100</v>
      </c>
      <c r="H3" s="4">
        <f>SUM(F3,G3)</f>
        <v>155.29</v>
      </c>
      <c r="I3" t="s">
        <v>36</v>
      </c>
      <c r="J3" t="s">
        <v>12</v>
      </c>
    </row>
    <row r="4" spans="1:10" ht="14.4">
      <c r="A4" s="10" t="s">
        <v>42</v>
      </c>
      <c r="B4" t="s">
        <v>43</v>
      </c>
      <c r="C4" t="s">
        <v>35</v>
      </c>
      <c r="D4" s="21" t="s">
        <v>14</v>
      </c>
      <c r="E4" s="14">
        <v>46163</v>
      </c>
      <c r="F4" s="23">
        <v>1.18</v>
      </c>
      <c r="G4" s="4">
        <v>100</v>
      </c>
      <c r="H4" s="4">
        <f>SUM(F4,G4)</f>
        <v>101.18</v>
      </c>
      <c r="I4" t="s">
        <v>44</v>
      </c>
      <c r="J4" t="s">
        <v>12</v>
      </c>
    </row>
    <row r="5" spans="1:10" ht="14.4">
      <c r="A5" s="5">
        <v>3320050467095</v>
      </c>
      <c r="B5" t="s">
        <v>33</v>
      </c>
      <c r="C5" t="s">
        <v>35</v>
      </c>
      <c r="D5" t="s">
        <v>41</v>
      </c>
      <c r="E5" s="14">
        <v>46172</v>
      </c>
      <c r="F5" s="8">
        <v>5.13</v>
      </c>
      <c r="G5" s="4">
        <v>0</v>
      </c>
      <c r="H5" s="8">
        <v>5.13</v>
      </c>
      <c r="I5" t="s">
        <v>33</v>
      </c>
      <c r="J5" t="s">
        <v>12</v>
      </c>
    </row>
    <row r="6" spans="1:10" ht="14.4">
      <c r="A6" s="12">
        <v>3320048467635</v>
      </c>
      <c r="B6" t="s">
        <v>33</v>
      </c>
      <c r="C6" t="s">
        <v>35</v>
      </c>
      <c r="D6" t="s">
        <v>41</v>
      </c>
      <c r="E6" s="14">
        <v>46172</v>
      </c>
      <c r="F6" s="8">
        <v>1.7</v>
      </c>
      <c r="G6" s="4">
        <v>0</v>
      </c>
      <c r="H6" s="8">
        <v>5.13</v>
      </c>
      <c r="I6" t="s">
        <v>33</v>
      </c>
      <c r="J6" t="s">
        <v>12</v>
      </c>
    </row>
    <row r="7" spans="1:10" ht="15">
      <c r="A7" s="13">
        <v>6052126170497</v>
      </c>
      <c r="B7" t="s">
        <v>33</v>
      </c>
      <c r="C7" t="s">
        <v>35</v>
      </c>
      <c r="D7" t="s">
        <v>41</v>
      </c>
      <c r="E7" s="14">
        <v>46172</v>
      </c>
      <c r="F7" s="8">
        <v>46.97</v>
      </c>
      <c r="G7" s="4">
        <v>0</v>
      </c>
      <c r="H7" s="8">
        <v>5.13</v>
      </c>
      <c r="I7" t="s">
        <v>33</v>
      </c>
      <c r="J7" t="s">
        <v>12</v>
      </c>
    </row>
    <row r="8" spans="1:10" ht="14.4">
      <c r="A8" s="10">
        <v>3320020436444</v>
      </c>
      <c r="B8" s="24" t="s">
        <v>33</v>
      </c>
      <c r="C8" s="24" t="s">
        <v>35</v>
      </c>
      <c r="D8" s="24" t="s">
        <v>41</v>
      </c>
      <c r="E8" s="14">
        <v>46172</v>
      </c>
      <c r="F8" s="8">
        <v>19.68</v>
      </c>
      <c r="G8" s="4">
        <v>0</v>
      </c>
      <c r="H8" s="8">
        <v>5.13</v>
      </c>
      <c r="I8" s="24" t="s">
        <v>33</v>
      </c>
      <c r="J8" s="24" t="s">
        <v>12</v>
      </c>
    </row>
    <row r="9" spans="1:10" ht="14.4">
      <c r="A9" s="10"/>
      <c r="B9" s="25"/>
      <c r="C9" s="25"/>
      <c r="D9" s="25"/>
      <c r="E9" s="14"/>
      <c r="F9" s="23"/>
      <c r="G9" s="4"/>
      <c r="H9" s="22"/>
      <c r="I9" s="25"/>
      <c r="J9" s="25"/>
    </row>
    <row r="10" spans="1:10" ht="14.4">
      <c r="A10" s="10"/>
      <c r="B10" s="25"/>
      <c r="C10" s="25"/>
      <c r="D10" s="25"/>
      <c r="E10" s="14"/>
      <c r="F10" s="23"/>
      <c r="G10" s="4"/>
      <c r="H10" s="22"/>
      <c r="I10" s="25"/>
      <c r="J10" s="25"/>
    </row>
    <row r="11" spans="1:10" ht="14.4">
      <c r="A11" s="10"/>
      <c r="B11" s="25"/>
      <c r="C11" s="25"/>
      <c r="D11" s="25"/>
      <c r="E11" s="14"/>
      <c r="F11" s="23"/>
      <c r="G11" s="4"/>
      <c r="H11" s="22"/>
      <c r="I11" s="25"/>
      <c r="J11" s="25"/>
    </row>
    <row r="12" spans="1:10" ht="14.4">
      <c r="A12" s="10"/>
      <c r="B12" s="25"/>
      <c r="C12" s="25"/>
      <c r="D12" s="25"/>
      <c r="E12" s="14"/>
      <c r="F12" s="23"/>
      <c r="G12" s="4"/>
      <c r="H12" s="22"/>
      <c r="I12" s="25"/>
      <c r="J12" s="25"/>
    </row>
    <row r="13" spans="1:10" ht="14.4">
      <c r="A13" s="10"/>
      <c r="B13" s="25"/>
      <c r="C13" s="25"/>
      <c r="D13" s="25"/>
      <c r="E13" s="14"/>
      <c r="F13" s="23"/>
      <c r="G13" s="4"/>
      <c r="H13" s="22"/>
      <c r="I13" s="25"/>
      <c r="J13" s="25"/>
    </row>
    <row r="14" spans="1:10" ht="14.4">
      <c r="A14" s="10"/>
      <c r="B14" s="25"/>
      <c r="C14" s="25"/>
      <c r="D14" s="25"/>
      <c r="E14" s="14"/>
      <c r="F14" s="23"/>
      <c r="G14" s="4"/>
      <c r="H14" s="22"/>
      <c r="I14" s="25"/>
      <c r="J14" s="25"/>
    </row>
    <row r="15" spans="1:10" ht="14.4">
      <c r="A15" s="10"/>
      <c r="B15" s="25"/>
      <c r="C15" s="25"/>
      <c r="D15" s="25"/>
      <c r="E15" s="14"/>
      <c r="F15" s="23"/>
      <c r="G15" s="4"/>
      <c r="H15" s="22"/>
      <c r="I15" s="25"/>
      <c r="J15" s="25"/>
    </row>
  </sheetData>
  <mergeCells count="1">
    <mergeCell ref="A1:J1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JML1q</vt:lpstr>
      <vt:lpstr>ITR1q</vt:lpstr>
      <vt:lpstr>JML2q</vt:lpstr>
      <vt:lpstr>ITR2q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Cauã Filipi</dc:creator>
  <cp:lastModifiedBy>Alan Araujo Arruda</cp:lastModifiedBy>
  <dcterms:created xsi:type="dcterms:W3CDTF">2026-05-23T09:02:12Z</dcterms:created>
  <dcterms:modified xsi:type="dcterms:W3CDTF">2026-06-04T13:02:57Z</dcterms:modified>
</cp:coreProperties>
</file>